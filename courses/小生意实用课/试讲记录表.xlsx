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学员情况" sheetId="2" state="visible" r:id="rId4"/>
    <sheet name="卡点记录" sheetId="3" state="visible" r:id="rId5"/>
    <sheet name="学员提问" sheetId="4" state="visible" r:id="rId6"/>
    <sheet name="练习统计" sheetId="5" state="visible" r:id="rId7"/>
    <sheet name="课后反馈" sheetId="6" state="visible" r:id="rId8"/>
    <sheet name="讲师复盘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<sst xmlns="http://schemas.openxmlformats.org/spreadsheetml/2006/main" count="185" uniqueCount="140">
  <si>
    <r>
      <rPr>
        <b val="true"/>
        <sz val="16"/>
        <rFont val="Microsoft YaHei"/>
        <family val="0"/>
        <charset val="1"/>
      </rPr>
      <t xml:space="preserve">Codex </t>
    </r>
    <r>
      <rPr>
        <b val="true"/>
        <sz val="16"/>
        <rFont val="WenQuanYi Zen Hei"/>
        <family val="2"/>
      </rPr>
      <t xml:space="preserve">课试讲记录表</t>
    </r>
  </si>
  <si>
    <t xml:space="preserve">用途：试讲时记下学员在哪里卡住、问了什么、额度在哪用完，课后按记录改课件。</t>
  </si>
  <si>
    <t xml:space="preserve">怎么填</t>
  </si>
  <si>
    <t xml:space="preserve">• 黄色格子是要填的；灰色斜体的第一行是示例，照着格式填就行，填完可以删掉。</t>
  </si>
  <si>
    <t xml:space="preserve">• 有下拉箭头的格子，直接点选，不用打字。</t>
  </si>
  <si>
    <t xml:space="preserve">• 「练习统计」那张表是自动算的，不用填。</t>
  </si>
  <si>
    <t xml:space="preserve">谁填哪张</t>
  </si>
  <si>
    <r>
      <rPr>
        <sz val="11"/>
        <rFont val="WenQuanYi Zen Hei"/>
        <family val="2"/>
      </rPr>
      <t xml:space="preserve">• 学员情况：开课前登记 </t>
    </r>
    <r>
      <rPr>
        <sz val="11"/>
        <rFont val="Microsoft YaHei"/>
        <family val="0"/>
        <charset val="1"/>
      </rPr>
      <t xml:space="preserve">+ </t>
    </r>
    <r>
      <rPr>
        <sz val="11"/>
        <rFont val="WenQuanYi Zen Hei"/>
        <family val="2"/>
      </rPr>
      <t xml:space="preserve">课上每做完一个练习就更新（助教）</t>
    </r>
  </si>
  <si>
    <t xml:space="preserve">• 卡点记录：谁卡住了就记一条，越具体越好（助教，边走边记）</t>
  </si>
  <si>
    <t xml:space="preserve">• 学员提问：学员问的原话（讲师或助教）</t>
  </si>
  <si>
    <t xml:space="preserve">• 课后反馈：下课前让学员口头回答或扫码填，助教汇总</t>
  </si>
  <si>
    <t xml:space="preserve">• 讲师复盘：讲完当天讲师自己填</t>
  </si>
  <si>
    <t xml:space="preserve">最重要的三件事</t>
  </si>
  <si>
    <r>
      <rPr>
        <sz val="11"/>
        <rFont val="Microsoft YaHei"/>
        <family val="0"/>
        <charset val="1"/>
      </rPr>
      <t xml:space="preserve">1. </t>
    </r>
    <r>
      <rPr>
        <sz val="11"/>
        <rFont val="WenQuanYi Zen Hei"/>
        <family val="2"/>
      </rPr>
      <t xml:space="preserve">免费账号的额度，用到第几个练习就没了 → 填在「学员情况」的「额度用完在」</t>
    </r>
  </si>
  <si>
    <r>
      <rPr>
        <sz val="11"/>
        <rFont val="Microsoft YaHei"/>
        <family val="0"/>
        <charset val="1"/>
      </rPr>
      <t xml:space="preserve">2. </t>
    </r>
    <r>
      <rPr>
        <sz val="11"/>
        <rFont val="WenQuanYi Zen Hei"/>
        <family val="2"/>
      </rPr>
      <t xml:space="preserve">哪一页大家都卡住 → 「卡点记录」的页码</t>
    </r>
  </si>
  <si>
    <r>
      <rPr>
        <sz val="11"/>
        <rFont val="Microsoft YaHei"/>
        <family val="0"/>
        <charset val="1"/>
      </rPr>
      <t xml:space="preserve">3. </t>
    </r>
    <r>
      <rPr>
        <sz val="11"/>
        <rFont val="WenQuanYi Zen Hei"/>
        <family val="2"/>
      </rPr>
      <t xml:space="preserve">学员问的原话 → 不要改写，原话最有用</t>
    </r>
  </si>
  <si>
    <t xml:space="preserve">学员情况</t>
  </si>
  <si>
    <t xml:space="preserve">每位学员一行。练习列：每做完一个就选「做完」；没做完选「半途」；没做选「没做」；只看讲师演示选「看演示」。</t>
  </si>
  <si>
    <t xml:space="preserve">编号</t>
  </si>
  <si>
    <r>
      <rPr>
        <b val="true"/>
        <sz val="10"/>
        <color rgb="FFC8F031"/>
        <rFont val="WenQuanYi Zen Hei"/>
        <family val="2"/>
      </rPr>
      <t xml:space="preserve">做什么行业</t>
    </r>
    <r>
      <rPr>
        <b val="true"/>
        <sz val="10"/>
        <color rgb="FFC8F031"/>
        <rFont val="Microsoft YaHei"/>
        <family val="0"/>
        <charset val="1"/>
      </rPr>
      <t xml:space="preserve">/</t>
    </r>
    <r>
      <rPr>
        <b val="true"/>
        <sz val="10"/>
        <color rgb="FFC8F031"/>
        <rFont val="WenQuanYi Zen Hei"/>
        <family val="2"/>
      </rPr>
      <t xml:space="preserve">工作</t>
    </r>
  </si>
  <si>
    <t xml:space="preserve">电脑</t>
  </si>
  <si>
    <r>
      <rPr>
        <b val="true"/>
        <sz val="10"/>
        <color rgb="FFC8F031"/>
        <rFont val="Microsoft YaHei"/>
        <family val="0"/>
        <charset val="1"/>
      </rPr>
      <t xml:space="preserve">ChatGPT </t>
    </r>
    <r>
      <rPr>
        <b val="true"/>
        <sz val="10"/>
        <color rgb="FFC8F031"/>
        <rFont val="WenQuanYi Zen Hei"/>
        <family val="2"/>
      </rPr>
      <t xml:space="preserve">账号</t>
    </r>
  </si>
  <si>
    <r>
      <rPr>
        <b val="true"/>
        <sz val="10"/>
        <color rgb="FFC8F031"/>
        <rFont val="Microsoft YaHei"/>
        <family val="0"/>
        <charset val="1"/>
      </rPr>
      <t xml:space="preserve">Codex </t>
    </r>
    <r>
      <rPr>
        <b val="true"/>
        <sz val="10"/>
        <color rgb="FFC8F031"/>
        <rFont val="WenQuanYi Zen Hei"/>
        <family val="2"/>
      </rPr>
      <t xml:space="preserve">装好了吗</t>
    </r>
  </si>
  <si>
    <t xml:space="preserve">额度用完在</t>
  </si>
  <si>
    <r>
      <rPr>
        <b val="true"/>
        <sz val="10"/>
        <color rgb="FFC8F031"/>
        <rFont val="Microsoft YaHei"/>
        <family val="0"/>
        <charset val="1"/>
      </rPr>
      <t xml:space="preserve">P28 </t>
    </r>
    <r>
      <rPr>
        <b val="true"/>
        <sz val="10"/>
        <color rgb="FFC8F031"/>
        <rFont val="WenQuanYi Zen Hei"/>
        <family val="2"/>
      </rPr>
      <t xml:space="preserve">打开 </t>
    </r>
    <r>
      <rPr>
        <b val="true"/>
        <sz val="10"/>
        <color rgb="FFC8F031"/>
        <rFont val="Microsoft YaHei"/>
        <family val="0"/>
        <charset val="1"/>
      </rPr>
      <t xml:space="preserve">Codex</t>
    </r>
    <r>
      <rPr>
        <b val="true"/>
        <sz val="10"/>
        <color rgb="FFC8F031"/>
        <rFont val="WenQuanYi Zen Hei"/>
        <family val="2"/>
      </rPr>
      <t xml:space="preserve">、定规矩、做技能</t>
    </r>
  </si>
  <si>
    <r>
      <rPr>
        <b val="true"/>
        <sz val="10"/>
        <color rgb="FFC8F031"/>
        <rFont val="Microsoft YaHei"/>
        <family val="0"/>
        <charset val="1"/>
      </rPr>
      <t xml:space="preserve">P35 </t>
    </r>
    <r>
      <rPr>
        <b val="true"/>
        <sz val="10"/>
        <color rgb="FFC8F031"/>
        <rFont val="WenQuanYi Zen Hei"/>
        <family val="2"/>
      </rPr>
      <t xml:space="preserve">排计划</t>
    </r>
  </si>
  <si>
    <r>
      <rPr>
        <b val="true"/>
        <sz val="10"/>
        <color rgb="FFC8F031"/>
        <rFont val="Microsoft YaHei"/>
        <family val="0"/>
        <charset val="1"/>
      </rPr>
      <t xml:space="preserve">P39 </t>
    </r>
    <r>
      <rPr>
        <b val="true"/>
        <sz val="10"/>
        <color rgb="FFC8F031"/>
        <rFont val="WenQuanYi Zen Hei"/>
        <family val="2"/>
      </rPr>
      <t xml:space="preserve">整理邮箱、起草回复</t>
    </r>
  </si>
  <si>
    <r>
      <rPr>
        <b val="true"/>
        <sz val="10"/>
        <color rgb="FFC8F031"/>
        <rFont val="Microsoft YaHei"/>
        <family val="0"/>
        <charset val="1"/>
      </rPr>
      <t xml:space="preserve">P43 </t>
    </r>
    <r>
      <rPr>
        <b val="true"/>
        <sz val="10"/>
        <color rgb="FFC8F031"/>
        <rFont val="WenQuanYi Zen Hei"/>
        <family val="2"/>
      </rPr>
      <t xml:space="preserve">每日汇总（定时任务）</t>
    </r>
  </si>
  <si>
    <r>
      <rPr>
        <b val="true"/>
        <sz val="10"/>
        <color rgb="FFC8F031"/>
        <rFont val="Microsoft YaHei"/>
        <family val="0"/>
        <charset val="1"/>
      </rPr>
      <t xml:space="preserve">P47 </t>
    </r>
    <r>
      <rPr>
        <b val="true"/>
        <sz val="10"/>
        <color rgb="FFC8F031"/>
        <rFont val="WenQuanYi Zen Hei"/>
        <family val="2"/>
      </rPr>
      <t xml:space="preserve">客户分析</t>
    </r>
  </si>
  <si>
    <r>
      <rPr>
        <b val="true"/>
        <sz val="10"/>
        <color rgb="FFC8F031"/>
        <rFont val="Microsoft YaHei"/>
        <family val="0"/>
        <charset val="1"/>
      </rPr>
      <t xml:space="preserve">P50 </t>
    </r>
    <r>
      <rPr>
        <b val="true"/>
        <sz val="10"/>
        <color rgb="FFC8F031"/>
        <rFont val="WenQuanYi Zen Hei"/>
        <family val="2"/>
      </rPr>
      <t xml:space="preserve">周报</t>
    </r>
  </si>
  <si>
    <r>
      <rPr>
        <b val="true"/>
        <sz val="10"/>
        <color rgb="FFC8F031"/>
        <rFont val="Microsoft YaHei"/>
        <family val="0"/>
        <charset val="1"/>
      </rPr>
      <t xml:space="preserve">P53 </t>
    </r>
    <r>
      <rPr>
        <b val="true"/>
        <sz val="10"/>
        <color rgb="FFC8F031"/>
        <rFont val="WenQuanYi Zen Hei"/>
        <family val="2"/>
      </rPr>
      <t xml:space="preserve">知识库</t>
    </r>
  </si>
  <si>
    <r>
      <rPr>
        <b val="true"/>
        <sz val="10"/>
        <color rgb="FFC8F031"/>
        <rFont val="Microsoft YaHei"/>
        <family val="0"/>
        <charset val="1"/>
      </rPr>
      <t xml:space="preserve">P58 </t>
    </r>
    <r>
      <rPr>
        <b val="true"/>
        <sz val="10"/>
        <color rgb="FFC8F031"/>
        <rFont val="WenQuanYi Zen Hei"/>
        <family val="2"/>
      </rPr>
      <t xml:space="preserve">报价计算器</t>
    </r>
  </si>
  <si>
    <t xml:space="preserve">备注</t>
  </si>
  <si>
    <t xml:space="preserve">S00</t>
  </si>
  <si>
    <t xml:space="preserve">示例：咖啡店老板</t>
  </si>
  <si>
    <t xml:space="preserve">Windows</t>
  </si>
  <si>
    <t xml:space="preserve">免费</t>
  </si>
  <si>
    <t xml:space="preserve">现场装好</t>
  </si>
  <si>
    <r>
      <rPr>
        <i val="true"/>
        <sz val="10"/>
        <color rgb="FF777777"/>
        <rFont val="Microsoft YaHei"/>
        <family val="0"/>
        <charset val="1"/>
      </rPr>
      <t xml:space="preserve">P47 </t>
    </r>
    <r>
      <rPr>
        <i val="true"/>
        <sz val="10"/>
        <color rgb="FF777777"/>
        <rFont val="WenQuanYi Zen Hei"/>
        <family val="2"/>
      </rPr>
      <t xml:space="preserve">客户分析</t>
    </r>
  </si>
  <si>
    <t xml:space="preserve">做完</t>
  </si>
  <si>
    <t xml:space="preserve">半途</t>
  </si>
  <si>
    <t xml:space="preserve">没做</t>
  </si>
  <si>
    <t xml:space="preserve">看演示</t>
  </si>
  <si>
    <r>
      <rPr>
        <i val="true"/>
        <sz val="10"/>
        <color rgb="FF777777"/>
        <rFont val="WenQuanYi Zen Hei"/>
        <family val="2"/>
      </rPr>
      <t xml:space="preserve">注册卡了 </t>
    </r>
    <r>
      <rPr>
        <i val="true"/>
        <sz val="10"/>
        <color rgb="FF777777"/>
        <rFont val="Microsoft YaHei"/>
        <family val="0"/>
        <charset val="1"/>
      </rPr>
      <t xml:space="preserve">10 </t>
    </r>
    <r>
      <rPr>
        <i val="true"/>
        <sz val="10"/>
        <color rgb="FF777777"/>
        <rFont val="WenQuanYi Zen Hei"/>
        <family val="2"/>
      </rPr>
      <t xml:space="preserve">分钟</t>
    </r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</si>
  <si>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</si>
  <si>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</si>
  <si>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</si>
  <si>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</si>
  <si>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</si>
  <si>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</si>
  <si>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</si>
  <si>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</si>
  <si>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</si>
  <si>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</si>
  <si>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</si>
  <si>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</si>
  <si>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</si>
  <si>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</si>
  <si>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</si>
  <si>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</si>
  <si>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</si>
  <si>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</si>
  <si>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</si>
  <si>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</si>
  <si>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</si>
  <si>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</si>
  <si>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</si>
  <si>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</si>
  <si>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</si>
  <si>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</si>
  <si>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</si>
  <si>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</si>
  <si>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</si>
  <si>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卡点记录</t>
  </si>
  <si>
    <r>
      <rPr>
        <sz val="9"/>
        <color rgb="FF666666"/>
        <rFont val="WenQuanYi Zen Hei"/>
        <family val="2"/>
      </rPr>
      <t xml:space="preserve">谁卡住了就记一条。「卡在哪」写具体的，比如「找不到 </t>
    </r>
    <r>
      <rPr>
        <sz val="9"/>
        <color rgb="FF666666"/>
        <rFont val="Microsoft YaHei"/>
        <family val="0"/>
        <charset val="1"/>
      </rPr>
      <t xml:space="preserve">Codex </t>
    </r>
    <r>
      <rPr>
        <sz val="9"/>
        <color rgb="FF666666"/>
        <rFont val="WenQuanYi Zen Hei"/>
        <family val="2"/>
      </rPr>
      <t xml:space="preserve">指令在哪」，不要只写「不会」。</t>
    </r>
  </si>
  <si>
    <t xml:space="preserve">时间</t>
  </si>
  <si>
    <t xml:space="preserve">课件页码</t>
  </si>
  <si>
    <t xml:space="preserve">哪个练习</t>
  </si>
  <si>
    <t xml:space="preserve">学员编号</t>
  </si>
  <si>
    <t xml:space="preserve">卡点类型</t>
  </si>
  <si>
    <t xml:space="preserve">卡在哪（具体）</t>
  </si>
  <si>
    <t xml:space="preserve">怎么解决的</t>
  </si>
  <si>
    <t xml:space="preserve">花了几分钟</t>
  </si>
  <si>
    <t xml:space="preserve">要改课件吗</t>
  </si>
  <si>
    <t xml:space="preserve">10:42</t>
  </si>
  <si>
    <t xml:space="preserve">P26</t>
  </si>
  <si>
    <r>
      <rPr>
        <i val="true"/>
        <sz val="10"/>
        <color rgb="FF777777"/>
        <rFont val="Microsoft YaHei"/>
        <family val="0"/>
        <charset val="1"/>
      </rPr>
      <t xml:space="preserve">P28 </t>
    </r>
    <r>
      <rPr>
        <i val="true"/>
        <sz val="10"/>
        <color rgb="FF777777"/>
        <rFont val="WenQuanYi Zen Hei"/>
        <family val="2"/>
      </rPr>
      <t xml:space="preserve">打开 </t>
    </r>
    <r>
      <rPr>
        <i val="true"/>
        <sz val="10"/>
        <color rgb="FF777777"/>
        <rFont val="Microsoft YaHei"/>
        <family val="0"/>
        <charset val="1"/>
      </rPr>
      <t xml:space="preserve">Codex</t>
    </r>
    <r>
      <rPr>
        <i val="true"/>
        <sz val="10"/>
        <color rgb="FF777777"/>
        <rFont val="WenQuanYi Zen Hei"/>
        <family val="2"/>
      </rPr>
      <t xml:space="preserve">、定规矩、做技能</t>
    </r>
  </si>
  <si>
    <r>
      <rPr>
        <i val="true"/>
        <sz val="10"/>
        <color rgb="FF777777"/>
        <rFont val="WenQuanYi Zen Hei"/>
        <family val="2"/>
      </rPr>
      <t xml:space="preserve">找不到按钮</t>
    </r>
    <r>
      <rPr>
        <i val="true"/>
        <sz val="10"/>
        <color rgb="FF777777"/>
        <rFont val="Microsoft YaHei"/>
        <family val="0"/>
        <charset val="1"/>
      </rPr>
      <t xml:space="preserve">/</t>
    </r>
    <r>
      <rPr>
        <i val="true"/>
        <sz val="10"/>
        <color rgb="FF777777"/>
        <rFont val="WenQuanYi Zen Hei"/>
        <family val="2"/>
      </rPr>
      <t xml:space="preserve">入口</t>
    </r>
  </si>
  <si>
    <r>
      <rPr>
        <i val="true"/>
        <sz val="10"/>
        <color rgb="FF777777"/>
        <rFont val="WenQuanYi Zen Hei"/>
        <family val="2"/>
      </rPr>
      <t xml:space="preserve">找不到「</t>
    </r>
    <r>
      <rPr>
        <i val="true"/>
        <sz val="10"/>
        <color rgb="FF777777"/>
        <rFont val="Microsoft YaHei"/>
        <family val="0"/>
        <charset val="1"/>
      </rPr>
      <t xml:space="preserve">Codex </t>
    </r>
    <r>
      <rPr>
        <i val="true"/>
        <sz val="10"/>
        <color rgb="FF777777"/>
        <rFont val="WenQuanYi Zen Hei"/>
        <family val="2"/>
      </rPr>
      <t xml:space="preserve">指令」，以为在聊天框里粘贴</t>
    </r>
  </si>
  <si>
    <t xml:space="preserve">助教带着点：设置 → 个性化</t>
  </si>
  <si>
    <t xml:space="preserve">要</t>
  </si>
  <si>
    <t xml:space="preserve">学员提问</t>
  </si>
  <si>
    <t xml:space="preserve">记原话，不要改写。最后一列判断：这个问题是不是很多人都会问、要不要写进课件。</t>
  </si>
  <si>
    <t xml:space="preserve">问题原话</t>
  </si>
  <si>
    <t xml:space="preserve">怎么回答的</t>
  </si>
  <si>
    <t xml:space="preserve">几个人问过类似的</t>
  </si>
  <si>
    <t xml:space="preserve">要加进课件吗</t>
  </si>
  <si>
    <t xml:space="preserve">11:05</t>
  </si>
  <si>
    <t xml:space="preserve">P19</t>
  </si>
  <si>
    <r>
      <rPr>
        <i val="true"/>
        <sz val="10"/>
        <color rgb="FF777777"/>
        <rFont val="WenQuanYi Zen Hei"/>
        <family val="2"/>
      </rPr>
      <t xml:space="preserve">那我用 </t>
    </r>
    <r>
      <rPr>
        <i val="true"/>
        <sz val="10"/>
        <color rgb="FF777777"/>
        <rFont val="Microsoft YaHei"/>
        <family val="0"/>
        <charset val="1"/>
      </rPr>
      <t xml:space="preserve">WorkBuddy </t>
    </r>
    <r>
      <rPr>
        <i val="true"/>
        <sz val="10"/>
        <color rgb="FF777777"/>
        <rFont val="WenQuanYi Zen Hei"/>
        <family val="2"/>
      </rPr>
      <t xml:space="preserve">可以吗？跟 </t>
    </r>
    <r>
      <rPr>
        <i val="true"/>
        <sz val="10"/>
        <color rgb="FF777777"/>
        <rFont val="Microsoft YaHei"/>
        <family val="0"/>
        <charset val="1"/>
      </rPr>
      <t xml:space="preserve">Codex </t>
    </r>
    <r>
      <rPr>
        <i val="true"/>
        <sz val="10"/>
        <color rgb="FF777777"/>
        <rFont val="WenQuanYi Zen Hei"/>
        <family val="2"/>
      </rPr>
      <t xml:space="preserve">有什么不一样？</t>
    </r>
  </si>
  <si>
    <t xml:space="preserve">可以，方法一样，界面不同</t>
  </si>
  <si>
    <t xml:space="preserve">练习统计（自动算，不用填）</t>
  </si>
  <si>
    <r>
      <rPr>
        <sz val="9"/>
        <color rgb="FF666666"/>
        <rFont val="WenQuanYi Zen Hei"/>
        <family val="2"/>
      </rPr>
      <t xml:space="preserve">根据「学员情况」和「卡点记录」自动统计。示例行（</t>
    </r>
    <r>
      <rPr>
        <sz val="9"/>
        <color rgb="FF666666"/>
        <rFont val="Microsoft YaHei"/>
        <family val="0"/>
        <charset val="1"/>
      </rPr>
      <t xml:space="preserve">S00 </t>
    </r>
    <r>
      <rPr>
        <sz val="9"/>
        <color rgb="FF666666"/>
        <rFont val="WenQuanYi Zen Hei"/>
        <family val="2"/>
      </rPr>
      <t xml:space="preserve">和第一条示例卡点）也会算进去，正式用前把示例删掉。</t>
    </r>
  </si>
  <si>
    <t xml:space="preserve">练习</t>
  </si>
  <si>
    <t xml:space="preserve">额度在这里用完</t>
  </si>
  <si>
    <t xml:space="preserve">卡点次数</t>
  </si>
  <si>
    <t xml:space="preserve">做完比例</t>
  </si>
  <si>
    <r>
      <rPr>
        <sz val="10"/>
        <rFont val="Microsoft YaHei"/>
        <family val="0"/>
        <charset val="1"/>
      </rPr>
      <t xml:space="preserve">P28 </t>
    </r>
    <r>
      <rPr>
        <sz val="10"/>
        <rFont val="WenQuanYi Zen Hei"/>
        <family val="2"/>
      </rPr>
      <t xml:space="preserve">打开 </t>
    </r>
    <r>
      <rPr>
        <sz val="10"/>
        <rFont val="Microsoft YaHei"/>
        <family val="0"/>
        <charset val="1"/>
      </rPr>
      <t xml:space="preserve">Codex</t>
    </r>
    <r>
      <rPr>
        <sz val="10"/>
        <rFont val="WenQuanYi Zen Hei"/>
        <family val="2"/>
      </rPr>
      <t xml:space="preserve">、定规矩、做技能</t>
    </r>
  </si>
  <si>
    <r>
      <rPr>
        <sz val="10"/>
        <rFont val="Microsoft YaHei"/>
        <family val="0"/>
        <charset val="1"/>
      </rPr>
      <t xml:space="preserve">P35 </t>
    </r>
    <r>
      <rPr>
        <sz val="10"/>
        <rFont val="WenQuanYi Zen Hei"/>
        <family val="2"/>
      </rPr>
      <t xml:space="preserve">排计划</t>
    </r>
  </si>
  <si>
    <r>
      <rPr>
        <sz val="10"/>
        <rFont val="Microsoft YaHei"/>
        <family val="0"/>
        <charset val="1"/>
      </rPr>
      <t xml:space="preserve">P39 </t>
    </r>
    <r>
      <rPr>
        <sz val="10"/>
        <rFont val="WenQuanYi Zen Hei"/>
        <family val="2"/>
      </rPr>
      <t xml:space="preserve">整理邮箱、起草回复</t>
    </r>
  </si>
  <si>
    <r>
      <rPr>
        <sz val="10"/>
        <rFont val="Microsoft YaHei"/>
        <family val="0"/>
        <charset val="1"/>
      </rPr>
      <t xml:space="preserve">P43 </t>
    </r>
    <r>
      <rPr>
        <sz val="10"/>
        <rFont val="WenQuanYi Zen Hei"/>
        <family val="2"/>
      </rPr>
      <t xml:space="preserve">每日汇总（定时任务）</t>
    </r>
  </si>
  <si>
    <r>
      <rPr>
        <sz val="10"/>
        <rFont val="Microsoft YaHei"/>
        <family val="0"/>
        <charset val="1"/>
      </rPr>
      <t xml:space="preserve">P47 </t>
    </r>
    <r>
      <rPr>
        <sz val="10"/>
        <rFont val="WenQuanYi Zen Hei"/>
        <family val="2"/>
      </rPr>
      <t xml:space="preserve">客户分析</t>
    </r>
  </si>
  <si>
    <r>
      <rPr>
        <sz val="10"/>
        <rFont val="Microsoft YaHei"/>
        <family val="0"/>
        <charset val="1"/>
      </rPr>
      <t xml:space="preserve">P50 </t>
    </r>
    <r>
      <rPr>
        <sz val="10"/>
        <rFont val="WenQuanYi Zen Hei"/>
        <family val="2"/>
      </rPr>
      <t xml:space="preserve">周报</t>
    </r>
  </si>
  <si>
    <r>
      <rPr>
        <sz val="10"/>
        <rFont val="Microsoft YaHei"/>
        <family val="0"/>
        <charset val="1"/>
      </rPr>
      <t xml:space="preserve">P53 </t>
    </r>
    <r>
      <rPr>
        <sz val="10"/>
        <rFont val="WenQuanYi Zen Hei"/>
        <family val="2"/>
      </rPr>
      <t xml:space="preserve">知识库</t>
    </r>
  </si>
  <si>
    <r>
      <rPr>
        <sz val="10"/>
        <rFont val="Microsoft YaHei"/>
        <family val="0"/>
        <charset val="1"/>
      </rPr>
      <t xml:space="preserve">P58 </t>
    </r>
    <r>
      <rPr>
        <sz val="10"/>
        <rFont val="WenQuanYi Zen Hei"/>
        <family val="2"/>
      </rPr>
      <t xml:space="preserve">报价计算器</t>
    </r>
  </si>
  <si>
    <t xml:space="preserve">额度没用完的人数</t>
  </si>
  <si>
    <r>
      <rPr>
        <b val="true"/>
        <sz val="10"/>
        <rFont val="WenQuanYi Zen Hei"/>
        <family val="2"/>
      </rPr>
      <t xml:space="preserve">装不上 </t>
    </r>
    <r>
      <rPr>
        <b val="true"/>
        <sz val="10"/>
        <rFont val="Microsoft YaHei"/>
        <family val="0"/>
        <charset val="1"/>
      </rPr>
      <t xml:space="preserve">Codex </t>
    </r>
    <r>
      <rPr>
        <b val="true"/>
        <sz val="10"/>
        <rFont val="WenQuanYi Zen Hei"/>
        <family val="2"/>
      </rPr>
      <t xml:space="preserve">的人数</t>
    </r>
  </si>
  <si>
    <t xml:space="preserve">要改课件的卡点</t>
  </si>
  <si>
    <t xml:space="preserve">课后反馈</t>
  </si>
  <si>
    <r>
      <rPr>
        <sz val="9"/>
        <color rgb="FF666666"/>
        <rFont val="WenQuanYi Zen Hei"/>
        <family val="2"/>
      </rPr>
      <t xml:space="preserve">下课前问学员这几个问题，每人一行。打分 </t>
    </r>
    <r>
      <rPr>
        <sz val="9"/>
        <color rgb="FF666666"/>
        <rFont val="Microsoft YaHei"/>
        <family val="0"/>
        <charset val="1"/>
      </rPr>
      <t xml:space="preserve">1–5</t>
    </r>
    <r>
      <rPr>
        <sz val="9"/>
        <color rgb="FF666666"/>
        <rFont val="WenQuanYi Zen Hei"/>
        <family val="2"/>
      </rPr>
      <t xml:space="preserve">，</t>
    </r>
    <r>
      <rPr>
        <sz val="9"/>
        <color rgb="FF666666"/>
        <rFont val="Microsoft YaHei"/>
        <family val="0"/>
        <charset val="1"/>
      </rPr>
      <t xml:space="preserve">5 </t>
    </r>
    <r>
      <rPr>
        <sz val="9"/>
        <color rgb="FF666666"/>
        <rFont val="WenQuanYi Zen Hei"/>
        <family val="2"/>
      </rPr>
      <t xml:space="preserve">分最好。</t>
    </r>
  </si>
  <si>
    <r>
      <rPr>
        <b val="true"/>
        <sz val="10"/>
        <color rgb="FFC8F031"/>
        <rFont val="WenQuanYi Zen Hei"/>
        <family val="2"/>
      </rPr>
      <t xml:space="preserve">整体打几分（</t>
    </r>
    <r>
      <rPr>
        <b val="true"/>
        <sz val="10"/>
        <color rgb="FFC8F031"/>
        <rFont val="Microsoft YaHei"/>
        <family val="0"/>
        <charset val="1"/>
      </rPr>
      <t xml:space="preserve">1–5</t>
    </r>
    <r>
      <rPr>
        <b val="true"/>
        <sz val="10"/>
        <color rgb="FFC8F031"/>
        <rFont val="WenQuanYi Zen Hei"/>
        <family val="2"/>
      </rPr>
      <t xml:space="preserve">）</t>
    </r>
  </si>
  <si>
    <t xml:space="preserve">最有用的是哪部分</t>
  </si>
  <si>
    <t xml:space="preserve">哪里听不懂</t>
  </si>
  <si>
    <t xml:space="preserve">回去第一个会用哪个</t>
  </si>
  <si>
    <r>
      <rPr>
        <b val="true"/>
        <sz val="10"/>
        <color rgb="FFC8F031"/>
        <rFont val="WenQuanYi Zen Hei"/>
        <family val="2"/>
      </rPr>
      <t xml:space="preserve">会推荐给朋友吗（</t>
    </r>
    <r>
      <rPr>
        <b val="true"/>
        <sz val="10"/>
        <color rgb="FFC8F031"/>
        <rFont val="Microsoft YaHei"/>
        <family val="0"/>
        <charset val="1"/>
      </rPr>
      <t xml:space="preserve">1–5</t>
    </r>
    <r>
      <rPr>
        <b val="true"/>
        <sz val="10"/>
        <color rgb="FFC8F031"/>
        <rFont val="WenQuanYi Zen Hei"/>
        <family val="2"/>
      </rPr>
      <t xml:space="preserve">）</t>
    </r>
  </si>
  <si>
    <t xml:space="preserve">其他意见</t>
  </si>
  <si>
    <t xml:space="preserve">客户分析</t>
  </si>
  <si>
    <r>
      <rPr>
        <i val="true"/>
        <sz val="10"/>
        <color rgb="FF777777"/>
        <rFont val="Microsoft YaHei"/>
        <family val="0"/>
        <charset val="1"/>
      </rPr>
      <t xml:space="preserve">Harness </t>
    </r>
    <r>
      <rPr>
        <i val="true"/>
        <sz val="10"/>
        <color rgb="FF777777"/>
        <rFont val="WenQuanYi Zen Hei"/>
        <family val="2"/>
      </rPr>
      <t xml:space="preserve">那页</t>
    </r>
  </si>
  <si>
    <r>
      <rPr>
        <i val="true"/>
        <sz val="10"/>
        <color rgb="FF777777"/>
        <rFont val="Microsoft YaHei"/>
        <family val="0"/>
        <charset val="1"/>
      </rPr>
      <t xml:space="preserve">P43 </t>
    </r>
    <r>
      <rPr>
        <i val="true"/>
        <sz val="10"/>
        <color rgb="FF777777"/>
        <rFont val="WenQuanYi Zen Hei"/>
        <family val="2"/>
      </rPr>
      <t xml:space="preserve">每日汇总（定时任务）</t>
    </r>
  </si>
  <si>
    <t xml:space="preserve">希望多一点时间做练习</t>
  </si>
  <si>
    <t xml:space="preserve">讲师复盘</t>
  </si>
  <si>
    <t xml:space="preserve">讲完当天填。每个问题写一两句就行。</t>
  </si>
  <si>
    <t xml:space="preserve">实际讲了多久？哪一部分超时最多？</t>
  </si>
  <si>
    <t xml:space="preserve">哪几页讲得太快、学员没跟上？（写页码）</t>
  </si>
  <si>
    <t xml:space="preserve">哪几页太啰嗦、可以删？（写页码）</t>
  </si>
  <si>
    <t xml:space="preserve">免费账号的学员，额度大概撑到第几个练习？</t>
  </si>
  <si>
    <t xml:space="preserve">现场最耗时间的是什么？（装软件、注册、连插件……）</t>
  </si>
  <si>
    <t xml:space="preserve">助教够不够？下次要几个？</t>
  </si>
  <si>
    <t xml:space="preserve">学员最感兴趣的是哪部分？</t>
  </si>
  <si>
    <t xml:space="preserve">下次一定要改的三件事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</si>
</sst>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Microsoft YaHei"/>
      <family val="0"/>
      <charset val="1"/>
    </font>
    <font>
      <b val="true"/>
      <sz val="16"/>
      <name val="WenQuanYi Zen Hei"/>
      <family val="2"/>
    </font>
    <font>
      <sz val="11"/>
      <name val="WenQuanYi Zen Hei"/>
      <family val="2"/>
    </font>
    <font>
      <b val="true"/>
      <sz val="12"/>
      <name val="WenQuanYi Zen Hei"/>
      <family val="2"/>
    </font>
    <font>
      <sz val="11"/>
      <name val="Microsoft YaHei"/>
      <family val="0"/>
      <charset val="1"/>
    </font>
    <font>
      <b val="true"/>
      <sz val="14"/>
      <name val="WenQuanYi Zen Hei"/>
      <family val="2"/>
    </font>
    <font>
      <sz val="9"/>
      <color rgb="FF666666"/>
      <name val="WenQuanYi Zen Hei"/>
      <family val="2"/>
    </font>
    <font>
      <b val="true"/>
      <sz val="10"/>
      <color rgb="FFC8F031"/>
      <name val="WenQuanYi Zen Hei"/>
      <family val="2"/>
    </font>
    <font>
      <b val="true"/>
      <sz val="10"/>
      <color rgb="FFC8F031"/>
      <name val="Microsoft YaHei"/>
      <family val="0"/>
      <charset val="1"/>
    </font>
    <font>
      <i val="true"/>
      <sz val="10"/>
      <color rgb="FF777777"/>
      <name val="Microsoft YaHei"/>
      <family val="0"/>
      <charset val="1"/>
    </font>
    <font>
      <i val="true"/>
      <sz val="10"/>
      <color rgb="FF777777"/>
      <name val="WenQuanYi Zen Hei"/>
      <family val="2"/>
    </font>
    <font>
      <sz val="10"/>
      <name val="Microsoft YaHei"/>
      <family val="0"/>
      <charset val="1"/>
    </font>
    <font>
      <sz val="9"/>
      <color rgb="FF666666"/>
      <name val="Microsoft YaHei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</font>
    <font>
      <b val="true"/>
      <sz val="10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191F"/>
        <bgColor rgb="FF000000"/>
      </patternFill>
    </fill>
    <fill>
      <patternFill patternType="solid">
        <fgColor rgb="FFEEEEEE"/>
        <bgColor rgb="FFFFF9C4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C8F03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9C4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619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14" min="7" style="0" width="12"/>
    <col collapsed="false" customWidth="true" hidden="false" outlineLevel="0" max="15" min="15" style="0" width="24"/>
  </cols>
  <sheetData>
    <row r="1" customFormat="false" ht="17.35" hidden="false" customHeight="false" outlineLevel="0" collapsed="false">
      <c r="A1" s="5" t="s">
        <v>16</v>
      </c>
    </row>
    <row r="2" customFormat="false" ht="15" hidden="false" customHeight="false" outlineLevel="0" collapsed="false">
      <c r="A2" s="6" t="s">
        <v>17</v>
      </c>
    </row>
    <row r="3" customFormat="false" ht="31.5" hidden="false" customHeight="true" outlineLevel="0" collapsed="false">
      <c r="A3" s="7" t="s">
        <v>18</v>
      </c>
      <c r="B3" s="7" t="s">
        <v>19</v>
      </c>
      <c r="C3" s="7" t="s">
        <v>20</v>
      </c>
      <c r="D3" s="8" t="s">
        <v>21</v>
      </c>
      <c r="E3" s="8" t="s">
        <v>22</v>
      </c>
      <c r="F3" s="7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 t="s">
        <v>29</v>
      </c>
      <c r="M3" s="8" t="s">
        <v>30</v>
      </c>
      <c r="N3" s="8" t="s">
        <v>31</v>
      </c>
      <c r="O3" s="7" t="s">
        <v>32</v>
      </c>
    </row>
    <row r="4" customFormat="false" ht="15" hidden="false" customHeight="false" outlineLevel="0" collapsed="false">
      <c r="A4" s="9" t="s">
        <v>33</v>
      </c>
      <c r="B4" s="10" t="s">
        <v>34</v>
      </c>
      <c r="C4" s="9" t="s">
        <v>35</v>
      </c>
      <c r="D4" s="10" t="s">
        <v>36</v>
      </c>
      <c r="E4" s="10" t="s">
        <v>37</v>
      </c>
      <c r="F4" s="9" t="s">
        <v>38</v>
      </c>
      <c r="G4" s="10" t="s">
        <v>39</v>
      </c>
      <c r="H4" s="10" t="s">
        <v>39</v>
      </c>
      <c r="I4" s="10" t="s">
        <v>39</v>
      </c>
      <c r="J4" s="10" t="s">
        <v>40</v>
      </c>
      <c r="K4" s="10" t="s">
        <v>41</v>
      </c>
      <c r="L4" s="10" t="s">
        <v>41</v>
      </c>
      <c r="M4" s="10" t="s">
        <v>41</v>
      </c>
      <c r="N4" s="10" t="s">
        <v>42</v>
      </c>
      <c r="O4" s="10" t="s">
        <v>43</v>
      </c>
    </row>
    <row r="5" customFormat="false" ht="15" hidden="false" customHeight="false" outlineLevel="0" collapsed="false">
      <c r="A5" s="11" t="s">
        <v>44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customFormat="false" ht="15" hidden="false" customHeight="false" outlineLevel="0" collapsed="false">
      <c r="A6" s="11" t="s">
        <v>45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customFormat="false" ht="15" hidden="false" customHeight="false" outlineLevel="0" collapsed="false">
      <c r="A7" s="11" t="s">
        <v>46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customFormat="false" ht="15" hidden="false" customHeight="false" outlineLevel="0" collapsed="false">
      <c r="A8" s="11" t="s">
        <v>47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customFormat="false" ht="15" hidden="false" customHeight="false" outlineLevel="0" collapsed="false">
      <c r="A9" s="11" t="s">
        <v>48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customFormat="false" ht="15" hidden="false" customHeight="false" outlineLevel="0" collapsed="false">
      <c r="A10" s="11" t="s">
        <v>49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customFormat="false" ht="15" hidden="false" customHeight="false" outlineLevel="0" collapsed="false">
      <c r="A11" s="11" t="s">
        <v>50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customFormat="false" ht="15" hidden="false" customHeight="false" outlineLevel="0" collapsed="false">
      <c r="A12" s="11" t="s">
        <v>51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customFormat="false" ht="15" hidden="false" customHeight="false" outlineLevel="0" collapsed="false">
      <c r="A13" s="11" t="s">
        <v>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15" hidden="false" customHeight="false" outlineLevel="0" collapsed="false">
      <c r="A14" s="11" t="s">
        <v>53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customFormat="false" ht="15" hidden="false" customHeight="false" outlineLevel="0" collapsed="false">
      <c r="A15" s="11" t="s">
        <v>54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customFormat="false" ht="15" hidden="false" customHeight="false" outlineLevel="0" collapsed="false">
      <c r="A16" s="11" t="s">
        <v>55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customFormat="false" ht="15" hidden="false" customHeight="false" outlineLevel="0" collapsed="false">
      <c r="A17" s="11" t="s">
        <v>56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customFormat="false" ht="15" hidden="false" customHeight="false" outlineLevel="0" collapsed="false">
      <c r="A18" s="11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customFormat="false" ht="15" hidden="false" customHeight="false" outlineLevel="0" collapsed="false">
      <c r="A19" s="11" t="s">
        <v>58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customFormat="false" ht="15" hidden="false" customHeight="false" outlineLevel="0" collapsed="false">
      <c r="A20" s="11" t="s">
        <v>59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customFormat="false" ht="15" hidden="false" customHeight="false" outlineLevel="0" collapsed="false">
      <c r="A21" s="11" t="s">
        <v>60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customFormat="false" ht="15" hidden="false" customHeight="false" outlineLevel="0" collapsed="false">
      <c r="A22" s="11" t="s">
        <v>61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customFormat="false" ht="15" hidden="false" customHeight="false" outlineLevel="0" collapsed="false">
      <c r="A23" s="11" t="s">
        <v>62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customFormat="false" ht="15" hidden="false" customHeight="false" outlineLevel="0" collapsed="false">
      <c r="A24" s="11" t="s">
        <v>63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customFormat="false" ht="15" hidden="false" customHeight="false" outlineLevel="0" collapsed="false">
      <c r="A25" s="11" t="s">
        <v>64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customFormat="false" ht="15" hidden="false" customHeight="false" outlineLevel="0" collapsed="false">
      <c r="A26" s="11" t="s">
        <v>65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customFormat="false" ht="15" hidden="false" customHeight="false" outlineLevel="0" collapsed="false">
      <c r="A27" s="11" t="s">
        <v>66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customFormat="false" ht="15" hidden="false" customHeight="false" outlineLevel="0" collapsed="false">
      <c r="A28" s="11" t="s">
        <v>67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customFormat="false" ht="15" hidden="false" customHeight="false" outlineLevel="0" collapsed="false">
      <c r="A29" s="11" t="s">
        <v>68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customFormat="false" ht="15" hidden="false" customHeight="false" outlineLevel="0" collapsed="false">
      <c r="A30" s="11" t="s">
        <v>69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customFormat="false" ht="15" hidden="false" customHeight="false" outlineLevel="0" collapsed="false">
      <c r="A31" s="11" t="s">
        <v>70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customFormat="false" ht="15" hidden="false" customHeight="false" outlineLevel="0" collapsed="false">
      <c r="A32" s="11" t="s">
        <v>71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customFormat="false" ht="15" hidden="false" customHeight="false" outlineLevel="0" collapsed="false">
      <c r="A33" s="11" t="s">
        <v>72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</sheetData>
  <dataValidations count="5">
    <dataValidation allowBlank="true" error="请从下拉选项里选" errorStyle="stop" operator="between" showDropDown="false" showErrorMessage="false" showInputMessage="false" sqref="C4:C33" type="list">
      <formula1>"Windows,Mac,平板,其他"</formula1>
      <formula2>0</formula2>
    </dataValidation>
    <dataValidation allowBlank="true" error="请从下拉选项里选" errorStyle="stop" operator="between" showDropDown="false" showErrorMessage="false" showInputMessage="false" sqref="D4:D33" type="list">
      <formula1>"免费,Go,Plus,Pro,公司账号,没有账号"</formula1>
      <formula2>0</formula2>
    </dataValidation>
    <dataValidation allowBlank="true" error="请从下拉选项里选" errorStyle="stop" operator="between" showDropDown="false" showErrorMessage="false" showInputMessage="false" sqref="E4:E33" type="list">
      <formula1>"课前已装,现场装好,装不上"</formula1>
      <formula2>0</formula2>
    </dataValidation>
    <dataValidation allowBlank="true" error="请从下拉选项里选" errorStyle="stop" operator="between" showDropDown="false" showErrorMessage="false" showInputMessage="false" sqref="F4:F33" type="list">
      <formula1>"P28 打开 Codex、定规矩、做技能,P35 排计划,P39 整理邮箱、起草回复,P43 每日汇总（定时任务）,P47 客户分析,P50 周报,P53 知识库,P58 报价计算器,没用完"</formula1>
      <formula2>0</formula2>
    </dataValidation>
    <dataValidation allowBlank="true" error="请从下拉选项里选" errorStyle="stop" operator="between" showDropDown="false" showErrorMessage="false" showInputMessage="false" sqref="G4:N33" type="list">
      <formula1>"做完,半途,没做,看演示"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28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5" t="s">
        <v>73</v>
      </c>
    </row>
    <row r="2" customFormat="false" ht="15" hidden="false" customHeight="false" outlineLevel="0" collapsed="false">
      <c r="A2" s="6" t="s">
        <v>74</v>
      </c>
    </row>
    <row r="3" customFormat="false" ht="31.5" hidden="false" customHeight="true" outlineLevel="0" collapsed="false">
      <c r="A3" s="7" t="s">
        <v>75</v>
      </c>
      <c r="B3" s="7" t="s">
        <v>76</v>
      </c>
      <c r="C3" s="7" t="s">
        <v>77</v>
      </c>
      <c r="D3" s="7" t="s">
        <v>78</v>
      </c>
      <c r="E3" s="7" t="s">
        <v>79</v>
      </c>
      <c r="F3" s="7" t="s">
        <v>80</v>
      </c>
      <c r="G3" s="7" t="s">
        <v>81</v>
      </c>
      <c r="H3" s="7" t="s">
        <v>82</v>
      </c>
      <c r="I3" s="7" t="s">
        <v>83</v>
      </c>
    </row>
    <row r="4" customFormat="false" ht="26.85" hidden="false" customHeight="false" outlineLevel="0" collapsed="false">
      <c r="A4" s="9" t="s">
        <v>84</v>
      </c>
      <c r="B4" s="9" t="s">
        <v>85</v>
      </c>
      <c r="C4" s="9" t="s">
        <v>86</v>
      </c>
      <c r="D4" s="9" t="s">
        <v>46</v>
      </c>
      <c r="E4" s="10" t="s">
        <v>87</v>
      </c>
      <c r="F4" s="10" t="s">
        <v>88</v>
      </c>
      <c r="G4" s="10" t="s">
        <v>89</v>
      </c>
      <c r="H4" s="9" t="n">
        <v>5</v>
      </c>
      <c r="I4" s="10" t="s">
        <v>90</v>
      </c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</row>
  </sheetData>
  <dataValidations count="3">
    <dataValidation allowBlank="true" error="请从下拉选项里选" errorStyle="stop" operator="between" showDropDown="false" showErrorMessage="false" showInputMessage="false" sqref="C4:C63" type="list">
      <formula1>"P28 打开 Codex、定规矩、做技能,P35 排计划,P39 整理邮箱、起草回复,P43 每日汇总（定时任务）,P47 客户分析,P50 周报,P53 知识库,P58 报价计算器,不是练习"</formula1>
      <formula2>0</formula2>
    </dataValidation>
    <dataValidation allowBlank="true" error="请从下拉选项里选" errorStyle="stop" operator="between" showDropDown="false" showErrorMessage="false" showInputMessage="false" sqref="E4:E63" type="list">
      <formula1>"安装/登录账号,找不到按钮/入口,听不懂概念,不知道怎么跟它说,AI 结果不对,额度用完,插件/权限连不上,网络/电脑问题,其他"</formula1>
      <formula2>0</formula2>
    </dataValidation>
    <dataValidation allowBlank="true" error="请从下拉选项里选" errorStyle="stop" operator="between" showDropDown="false" showErrorMessage="false" showInputMessage="false" sqref="I4:I63" type="list">
      <formula1>"要,不用"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5" t="s">
        <v>91</v>
      </c>
    </row>
    <row r="2" customFormat="false" ht="15" hidden="false" customHeight="false" outlineLevel="0" collapsed="false">
      <c r="A2" s="6" t="s">
        <v>92</v>
      </c>
    </row>
    <row r="3" customFormat="false" ht="31.5" hidden="false" customHeight="true" outlineLevel="0" collapsed="false">
      <c r="A3" s="7" t="s">
        <v>75</v>
      </c>
      <c r="B3" s="7" t="s">
        <v>76</v>
      </c>
      <c r="C3" s="7" t="s">
        <v>78</v>
      </c>
      <c r="D3" s="7" t="s">
        <v>93</v>
      </c>
      <c r="E3" s="7" t="s">
        <v>94</v>
      </c>
      <c r="F3" s="7" t="s">
        <v>95</v>
      </c>
      <c r="G3" s="7" t="s">
        <v>96</v>
      </c>
    </row>
    <row r="4" customFormat="false" ht="26.85" hidden="false" customHeight="false" outlineLevel="0" collapsed="false">
      <c r="A4" s="9" t="s">
        <v>97</v>
      </c>
      <c r="B4" s="9" t="s">
        <v>98</v>
      </c>
      <c r="C4" s="9" t="s">
        <v>50</v>
      </c>
      <c r="D4" s="10" t="s">
        <v>99</v>
      </c>
      <c r="E4" s="10" t="s">
        <v>100</v>
      </c>
      <c r="F4" s="9" t="n">
        <v>3</v>
      </c>
      <c r="G4" s="10" t="s">
        <v>90</v>
      </c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</row>
  </sheetData>
  <dataValidations count="1">
    <dataValidation allowBlank="true" error="请从下拉选项里选" errorStyle="stop" operator="between" showDropDown="false" showErrorMessage="false" showInputMessage="false" sqref="G4:G33" type="list">
      <formula1>"要,不用,再看看"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8" min="7" style="0" width="10"/>
  </cols>
  <sheetData>
    <row r="1" customFormat="false" ht="17.35" hidden="false" customHeight="false" outlineLevel="0" collapsed="false">
      <c r="A1" s="5" t="s">
        <v>101</v>
      </c>
    </row>
    <row r="2" customFormat="false" ht="15" hidden="false" customHeight="false" outlineLevel="0" collapsed="false">
      <c r="A2" s="6" t="s">
        <v>102</v>
      </c>
    </row>
    <row r="3" customFormat="false" ht="31.5" hidden="false" customHeight="true" outlineLevel="0" collapsed="false">
      <c r="A3" s="7" t="s">
        <v>103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104</v>
      </c>
      <c r="G3" s="7" t="s">
        <v>105</v>
      </c>
      <c r="H3" s="7" t="s">
        <v>106</v>
      </c>
    </row>
    <row r="4" customFormat="false" ht="15" hidden="false" customHeight="false" outlineLevel="0" collapsed="false">
      <c r="A4" s="12" t="s">
        <v>107</v>
      </c>
      <c r="B4" s="12" t="n">
        <f aca="false">COUNTIF(学员情况!$G$4:$G$33,"做完")</f>
        <v>1</v>
      </c>
      <c r="C4" s="12" t="n">
        <f aca="false">COUNTIF(学员情况!$G$4:$G$33,"半途")</f>
        <v>0</v>
      </c>
      <c r="D4" s="12" t="n">
        <f aca="false">COUNTIF(学员情况!$G$4:$G$33,"没做")</f>
        <v>0</v>
      </c>
      <c r="E4" s="12" t="n">
        <f aca="false">COUNTIF(学员情况!$G$4:$G$33,"看演示")</f>
        <v>0</v>
      </c>
      <c r="F4" s="12" t="n">
        <f aca="false">COUNTIF(学员情况!$F$4:$F$33,A4)</f>
        <v>0</v>
      </c>
      <c r="G4" s="12" t="n">
        <f aca="false">COUNTIF(卡点记录!$C$4:$C$63,A4)</f>
        <v>1</v>
      </c>
      <c r="H4" s="13" t="n">
        <f aca="false">IFERROR(B4/SUM(B4:E4),"-")</f>
        <v>1</v>
      </c>
    </row>
    <row r="5" customFormat="false" ht="15" hidden="false" customHeight="false" outlineLevel="0" collapsed="false">
      <c r="A5" s="12" t="s">
        <v>108</v>
      </c>
      <c r="B5" s="12" t="n">
        <f aca="false">COUNTIF(学员情况!$H$4:$H$33,"做完")</f>
        <v>1</v>
      </c>
      <c r="C5" s="12" t="n">
        <f aca="false">COUNTIF(学员情况!$H$4:$H$33,"半途")</f>
        <v>0</v>
      </c>
      <c r="D5" s="12" t="n">
        <f aca="false">COUNTIF(学员情况!$H$4:$H$33,"没做")</f>
        <v>0</v>
      </c>
      <c r="E5" s="12" t="n">
        <f aca="false">COUNTIF(学员情况!$H$4:$H$33,"看演示")</f>
        <v>0</v>
      </c>
      <c r="F5" s="12" t="n">
        <f aca="false">COUNTIF(学员情况!$F$4:$F$33,A5)</f>
        <v>0</v>
      </c>
      <c r="G5" s="12" t="n">
        <f aca="false">COUNTIF(卡点记录!$C$4:$C$63,A5)</f>
        <v>0</v>
      </c>
      <c r="H5" s="13" t="n">
        <f aca="false">IFERROR(B5/SUM(B5:E5),"-")</f>
        <v>1</v>
      </c>
    </row>
    <row r="6" customFormat="false" ht="15" hidden="false" customHeight="false" outlineLevel="0" collapsed="false">
      <c r="A6" s="12" t="s">
        <v>109</v>
      </c>
      <c r="B6" s="12" t="n">
        <f aca="false">COUNTIF(学员情况!$I$4:$I$33,"做完")</f>
        <v>1</v>
      </c>
      <c r="C6" s="12" t="n">
        <f aca="false">COUNTIF(学员情况!$I$4:$I$33,"半途")</f>
        <v>0</v>
      </c>
      <c r="D6" s="12" t="n">
        <f aca="false">COUNTIF(学员情况!$I$4:$I$33,"没做")</f>
        <v>0</v>
      </c>
      <c r="E6" s="12" t="n">
        <f aca="false">COUNTIF(学员情况!$I$4:$I$33,"看演示")</f>
        <v>0</v>
      </c>
      <c r="F6" s="12" t="n">
        <f aca="false">COUNTIF(学员情况!$F$4:$F$33,A6)</f>
        <v>0</v>
      </c>
      <c r="G6" s="12" t="n">
        <f aca="false">COUNTIF(卡点记录!$C$4:$C$63,A6)</f>
        <v>0</v>
      </c>
      <c r="H6" s="13" t="n">
        <f aca="false">IFERROR(B6/SUM(B6:E6),"-")</f>
        <v>1</v>
      </c>
    </row>
    <row r="7" customFormat="false" ht="15" hidden="false" customHeight="false" outlineLevel="0" collapsed="false">
      <c r="A7" s="12" t="s">
        <v>110</v>
      </c>
      <c r="B7" s="12" t="n">
        <f aca="false">COUNTIF(学员情况!$J$4:$J$33,"做完")</f>
        <v>0</v>
      </c>
      <c r="C7" s="12" t="n">
        <f aca="false">COUNTIF(学员情况!$J$4:$J$33,"半途")</f>
        <v>1</v>
      </c>
      <c r="D7" s="12" t="n">
        <f aca="false">COUNTIF(学员情况!$J$4:$J$33,"没做")</f>
        <v>0</v>
      </c>
      <c r="E7" s="12" t="n">
        <f aca="false">COUNTIF(学员情况!$J$4:$J$33,"看演示")</f>
        <v>0</v>
      </c>
      <c r="F7" s="12" t="n">
        <f aca="false">COUNTIF(学员情况!$F$4:$F$33,A7)</f>
        <v>0</v>
      </c>
      <c r="G7" s="12" t="n">
        <f aca="false">COUNTIF(卡点记录!$C$4:$C$63,A7)</f>
        <v>0</v>
      </c>
      <c r="H7" s="13" t="n">
        <f aca="false">IFERROR(B7/SUM(B7:E7),"-")</f>
        <v>0</v>
      </c>
    </row>
    <row r="8" customFormat="false" ht="15" hidden="false" customHeight="false" outlineLevel="0" collapsed="false">
      <c r="A8" s="12" t="s">
        <v>111</v>
      </c>
      <c r="B8" s="12" t="n">
        <f aca="false">COUNTIF(学员情况!$K$4:$K$33,"做完")</f>
        <v>0</v>
      </c>
      <c r="C8" s="12" t="n">
        <f aca="false">COUNTIF(学员情况!$K$4:$K$33,"半途")</f>
        <v>0</v>
      </c>
      <c r="D8" s="12" t="n">
        <f aca="false">COUNTIF(学员情况!$K$4:$K$33,"没做")</f>
        <v>1</v>
      </c>
      <c r="E8" s="12" t="n">
        <f aca="false">COUNTIF(学员情况!$K$4:$K$33,"看演示")</f>
        <v>0</v>
      </c>
      <c r="F8" s="12" t="n">
        <f aca="false">COUNTIF(学员情况!$F$4:$F$33,A8)</f>
        <v>1</v>
      </c>
      <c r="G8" s="12" t="n">
        <f aca="false">COUNTIF(卡点记录!$C$4:$C$63,A8)</f>
        <v>0</v>
      </c>
      <c r="H8" s="13" t="n">
        <f aca="false">IFERROR(B8/SUM(B8:E8),"-")</f>
        <v>0</v>
      </c>
    </row>
    <row r="9" customFormat="false" ht="15" hidden="false" customHeight="false" outlineLevel="0" collapsed="false">
      <c r="A9" s="12" t="s">
        <v>112</v>
      </c>
      <c r="B9" s="12" t="n">
        <f aca="false">COUNTIF(学员情况!$L$4:$L$33,"做完")</f>
        <v>0</v>
      </c>
      <c r="C9" s="12" t="n">
        <f aca="false">COUNTIF(学员情况!$L$4:$L$33,"半途")</f>
        <v>0</v>
      </c>
      <c r="D9" s="12" t="n">
        <f aca="false">COUNTIF(学员情况!$L$4:$L$33,"没做")</f>
        <v>1</v>
      </c>
      <c r="E9" s="12" t="n">
        <f aca="false">COUNTIF(学员情况!$L$4:$L$33,"看演示")</f>
        <v>0</v>
      </c>
      <c r="F9" s="12" t="n">
        <f aca="false">COUNTIF(学员情况!$F$4:$F$33,A9)</f>
        <v>0</v>
      </c>
      <c r="G9" s="12" t="n">
        <f aca="false">COUNTIF(卡点记录!$C$4:$C$63,A9)</f>
        <v>0</v>
      </c>
      <c r="H9" s="13" t="n">
        <f aca="false">IFERROR(B9/SUM(B9:E9),"-")</f>
        <v>0</v>
      </c>
    </row>
    <row r="10" customFormat="false" ht="15" hidden="false" customHeight="false" outlineLevel="0" collapsed="false">
      <c r="A10" s="12" t="s">
        <v>113</v>
      </c>
      <c r="B10" s="12" t="n">
        <f aca="false">COUNTIF(学员情况!$M$4:$M$33,"做完")</f>
        <v>0</v>
      </c>
      <c r="C10" s="12" t="n">
        <f aca="false">COUNTIF(学员情况!$M$4:$M$33,"半途")</f>
        <v>0</v>
      </c>
      <c r="D10" s="12" t="n">
        <f aca="false">COUNTIF(学员情况!$M$4:$M$33,"没做")</f>
        <v>1</v>
      </c>
      <c r="E10" s="12" t="n">
        <f aca="false">COUNTIF(学员情况!$M$4:$M$33,"看演示")</f>
        <v>0</v>
      </c>
      <c r="F10" s="12" t="n">
        <f aca="false">COUNTIF(学员情况!$F$4:$F$33,A10)</f>
        <v>0</v>
      </c>
      <c r="G10" s="12" t="n">
        <f aca="false">COUNTIF(卡点记录!$C$4:$C$63,A10)</f>
        <v>0</v>
      </c>
      <c r="H10" s="13" t="n">
        <f aca="false">IFERROR(B10/SUM(B10:E10),"-")</f>
        <v>0</v>
      </c>
    </row>
    <row r="11" customFormat="false" ht="15" hidden="false" customHeight="false" outlineLevel="0" collapsed="false">
      <c r="A11" s="12" t="s">
        <v>114</v>
      </c>
      <c r="B11" s="12" t="n">
        <f aca="false">COUNTIF(学员情况!$N$4:$N$33,"做完")</f>
        <v>0</v>
      </c>
      <c r="C11" s="12" t="n">
        <f aca="false">COUNTIF(学员情况!$N$4:$N$33,"半途")</f>
        <v>0</v>
      </c>
      <c r="D11" s="12" t="n">
        <f aca="false">COUNTIF(学员情况!$N$4:$N$33,"没做")</f>
        <v>0</v>
      </c>
      <c r="E11" s="12" t="n">
        <f aca="false">COUNTIF(学员情况!$N$4:$N$33,"看演示")</f>
        <v>1</v>
      </c>
      <c r="F11" s="12" t="n">
        <f aca="false">COUNTIF(学员情况!$F$4:$F$33,A11)</f>
        <v>0</v>
      </c>
      <c r="G11" s="12" t="n">
        <f aca="false">COUNTIF(卡点记录!$C$4:$C$63,A11)</f>
        <v>0</v>
      </c>
      <c r="H11" s="13" t="n">
        <f aca="false">IFERROR(B11/SUM(B11:E11),"-")</f>
        <v>0</v>
      </c>
    </row>
    <row r="13" customFormat="false" ht="15" hidden="false" customHeight="false" outlineLevel="0" collapsed="false">
      <c r="A13" s="14" t="s">
        <v>115</v>
      </c>
      <c r="F13" s="15" t="n">
        <f aca="false">COUNTIF(学员情况!$F$4:$F$33,"没用完")</f>
        <v>0</v>
      </c>
    </row>
    <row r="14" customFormat="false" ht="15" hidden="false" customHeight="false" outlineLevel="0" collapsed="false">
      <c r="A14" s="14" t="s">
        <v>116</v>
      </c>
      <c r="F14" s="15" t="n">
        <f aca="false">COUNTIF(学员情况!$E$4:$E$33,"装不上")</f>
        <v>0</v>
      </c>
    </row>
    <row r="15" customFormat="false" ht="15" hidden="false" customHeight="false" outlineLevel="0" collapsed="false">
      <c r="A15" s="14" t="s">
        <v>117</v>
      </c>
      <c r="F15" s="15" t="n">
        <f aca="false">COUNTIF(卡点记录!$I$4:$I$63,"要")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2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5" t="s">
        <v>118</v>
      </c>
    </row>
    <row r="2" customFormat="false" ht="15" hidden="false" customHeight="false" outlineLevel="0" collapsed="false">
      <c r="A2" s="6" t="s">
        <v>119</v>
      </c>
    </row>
    <row r="3" customFormat="false" ht="31.5" hidden="false" customHeight="true" outlineLevel="0" collapsed="false">
      <c r="A3" s="7" t="s">
        <v>78</v>
      </c>
      <c r="B3" s="7" t="s">
        <v>120</v>
      </c>
      <c r="C3" s="7" t="s">
        <v>121</v>
      </c>
      <c r="D3" s="7" t="s">
        <v>122</v>
      </c>
      <c r="E3" s="7" t="s">
        <v>123</v>
      </c>
      <c r="F3" s="7" t="s">
        <v>124</v>
      </c>
      <c r="G3" s="7" t="s">
        <v>125</v>
      </c>
    </row>
    <row r="4" customFormat="false" ht="26.85" hidden="false" customHeight="false" outlineLevel="0" collapsed="false">
      <c r="A4" s="9" t="s">
        <v>33</v>
      </c>
      <c r="B4" s="9" t="n">
        <v>4</v>
      </c>
      <c r="C4" s="10" t="s">
        <v>126</v>
      </c>
      <c r="D4" s="9" t="s">
        <v>127</v>
      </c>
      <c r="E4" s="9" t="s">
        <v>128</v>
      </c>
      <c r="F4" s="9" t="n">
        <v>5</v>
      </c>
      <c r="G4" s="10" t="s">
        <v>129</v>
      </c>
    </row>
    <row r="5" customFormat="false" ht="15" hidden="false" customHeight="false" outlineLevel="0" collapsed="false">
      <c r="A5" s="11" t="s">
        <v>44</v>
      </c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11" t="s">
        <v>45</v>
      </c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11" t="s">
        <v>46</v>
      </c>
      <c r="B7" s="11"/>
      <c r="C7" s="11"/>
      <c r="D7" s="11"/>
      <c r="E7" s="11"/>
      <c r="F7" s="11"/>
      <c r="G7" s="11"/>
    </row>
    <row r="8" customFormat="false" ht="15" hidden="false" customHeight="false" outlineLevel="0" collapsed="false">
      <c r="A8" s="11" t="s">
        <v>47</v>
      </c>
      <c r="B8" s="11"/>
      <c r="C8" s="11"/>
      <c r="D8" s="11"/>
      <c r="E8" s="11"/>
      <c r="F8" s="11"/>
      <c r="G8" s="11"/>
    </row>
    <row r="9" customFormat="false" ht="15" hidden="false" customHeight="false" outlineLevel="0" collapsed="false">
      <c r="A9" s="11" t="s">
        <v>48</v>
      </c>
      <c r="B9" s="11"/>
      <c r="C9" s="11"/>
      <c r="D9" s="11"/>
      <c r="E9" s="11"/>
      <c r="F9" s="11"/>
      <c r="G9" s="11"/>
    </row>
    <row r="10" customFormat="false" ht="15" hidden="false" customHeight="false" outlineLevel="0" collapsed="false">
      <c r="A10" s="11" t="s">
        <v>49</v>
      </c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11" t="s">
        <v>50</v>
      </c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11" t="s">
        <v>51</v>
      </c>
      <c r="B12" s="11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1" t="s">
        <v>52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1" t="s">
        <v>53</v>
      </c>
      <c r="B14" s="11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1" t="s">
        <v>54</v>
      </c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11" t="s">
        <v>55</v>
      </c>
      <c r="B16" s="11"/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11" t="s">
        <v>56</v>
      </c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1" t="s">
        <v>57</v>
      </c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1" t="s">
        <v>58</v>
      </c>
      <c r="B19" s="11"/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1" t="s">
        <v>59</v>
      </c>
      <c r="B20" s="11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11" t="s">
        <v>60</v>
      </c>
      <c r="B21" s="11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1" t="s">
        <v>61</v>
      </c>
      <c r="B22" s="11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1" t="s">
        <v>62</v>
      </c>
      <c r="B23" s="11"/>
      <c r="C23" s="11"/>
      <c r="D23" s="11"/>
      <c r="E23" s="11"/>
      <c r="F23" s="11"/>
      <c r="G23" s="11"/>
    </row>
    <row r="24" customFormat="false" ht="15" hidden="false" customHeight="false" outlineLevel="0" collapsed="false">
      <c r="A24" s="11" t="s">
        <v>63</v>
      </c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1" t="s">
        <v>64</v>
      </c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11" t="s">
        <v>65</v>
      </c>
      <c r="B26" s="11"/>
      <c r="C26" s="11"/>
      <c r="D26" s="11"/>
      <c r="E26" s="11"/>
      <c r="F26" s="11"/>
      <c r="G26" s="11"/>
    </row>
    <row r="27" customFormat="false" ht="15" hidden="false" customHeight="false" outlineLevel="0" collapsed="false">
      <c r="A27" s="11" t="s">
        <v>66</v>
      </c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1" t="s">
        <v>67</v>
      </c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11" t="s">
        <v>68</v>
      </c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1" t="s">
        <v>69</v>
      </c>
      <c r="B30" s="11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11" t="s">
        <v>70</v>
      </c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11" t="s">
        <v>71</v>
      </c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1" t="s">
        <v>72</v>
      </c>
      <c r="B33" s="11"/>
      <c r="C33" s="11"/>
      <c r="D33" s="11"/>
      <c r="E33" s="11"/>
      <c r="F33" s="11"/>
      <c r="G33" s="11"/>
    </row>
  </sheetData>
  <dataValidations count="3">
    <dataValidation allowBlank="true" error="请从下拉选项里选" errorStyle="stop" operator="between" showDropDown="false" showErrorMessage="false" showInputMessage="false" sqref="B4:B33" type="list">
      <formula1>"1,2,3,4,5"</formula1>
      <formula2>0</formula2>
    </dataValidation>
    <dataValidation allowBlank="true" error="请从下拉选项里选" errorStyle="stop" operator="between" showDropDown="false" showErrorMessage="false" showInputMessage="false" sqref="F4:F33" type="list">
      <formula1>"1,2,3,4,5"</formula1>
      <formula2>0</formula2>
    </dataValidation>
    <dataValidation allowBlank="true" error="请从下拉选项里选" errorStyle="stop" operator="between" showDropDown="false" showErrorMessage="false" showInputMessage="false" sqref="E4:E33" type="list">
      <formula1>"P28 打开 Codex、定规矩、做技能,P35 排计划,P39 整理邮箱、起草回复,P43 每日汇总（定时任务）,P47 客户分析,P50 周报,P53 知识库,P58 报价计算器,还不确定"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5" t="s">
        <v>130</v>
      </c>
    </row>
    <row r="2" customFormat="false" ht="15" hidden="false" customHeight="false" outlineLevel="0" collapsed="false">
      <c r="A2" s="6" t="s">
        <v>131</v>
      </c>
    </row>
    <row r="4" customFormat="false" ht="48" hidden="false" customHeight="true" outlineLevel="0" collapsed="false">
      <c r="A4" s="16" t="s">
        <v>132</v>
      </c>
      <c r="B4" s="17"/>
    </row>
    <row r="5" customFormat="false" ht="48" hidden="false" customHeight="true" outlineLevel="0" collapsed="false">
      <c r="A5" s="16" t="s">
        <v>133</v>
      </c>
      <c r="B5" s="17"/>
    </row>
    <row r="6" customFormat="false" ht="48" hidden="false" customHeight="true" outlineLevel="0" collapsed="false">
      <c r="A6" s="16" t="s">
        <v>134</v>
      </c>
      <c r="B6" s="17"/>
    </row>
    <row r="7" customFormat="false" ht="48" hidden="false" customHeight="true" outlineLevel="0" collapsed="false">
      <c r="A7" s="16" t="s">
        <v>135</v>
      </c>
      <c r="B7" s="17"/>
    </row>
    <row r="8" customFormat="false" ht="48" hidden="false" customHeight="true" outlineLevel="0" collapsed="false">
      <c r="A8" s="16" t="s">
        <v>136</v>
      </c>
      <c r="B8" s="17"/>
    </row>
    <row r="9" customFormat="false" ht="48" hidden="false" customHeight="true" outlineLevel="0" collapsed="false">
      <c r="A9" s="16" t="s">
        <v>137</v>
      </c>
      <c r="B9" s="17"/>
    </row>
    <row r="10" customFormat="false" ht="48" hidden="false" customHeight="true" outlineLevel="0" collapsed="false">
      <c r="A10" s="16" t="s">
        <v>138</v>
      </c>
      <c r="B10" s="17"/>
    </row>
    <row r="11" customFormat="false" ht="48" hidden="false" customHeight="true" outlineLevel="0" collapsed="false">
      <c r="A11" s="16" t="s">
        <v>139</v>
      </c>
      <c r="B1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2026-10-17T18:26:06Z</dcterms:created>
  <dc:creator>openpyxl</dc:creator>
  <dc:description/>
  <dc:language>en-US</dc:language>
  <cp:lastModifiedBy/>
  <dcterms:modified xsi:type="dcterms:W3CDTF">2026-10-17T18:26:06Z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